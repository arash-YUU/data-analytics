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E47A7155-91AA-4060-8757-0F24C59C222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3" sheetId="3" r:id="rId1"/>
    <sheet name="Sheet1" sheetId="1" r:id="rId2"/>
  </sheets>
  <calcPr calcId="191028" refMode="R1C1" iterateCount="0" calcOnSave="0" concurrentCalc="0"/>
  <pivotCaches>
    <pivotCache cacheId="1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J6" i="1"/>
  <c r="R5" i="1"/>
  <c r="D5" i="1"/>
  <c r="R4" i="1"/>
  <c r="D4" i="1"/>
  <c r="R3" i="1"/>
  <c r="D3" i="1"/>
  <c r="R2" i="1"/>
  <c r="D2" i="1"/>
  <c r="D6" i="1" s="1"/>
</calcChain>
</file>

<file path=xl/sharedStrings.xml><?xml version="1.0" encoding="utf-8"?>
<sst xmlns="http://schemas.openxmlformats.org/spreadsheetml/2006/main" count="62" uniqueCount="47">
  <si>
    <t>Row Labels</t>
  </si>
  <si>
    <t>Count of ID</t>
  </si>
  <si>
    <t>Almost everyday your are at campus</t>
  </si>
  <si>
    <t>Never been there</t>
  </si>
  <si>
    <t>Once per week</t>
  </si>
  <si>
    <t>Grand Total</t>
  </si>
  <si>
    <t>ID</t>
  </si>
  <si>
    <t>Start time</t>
  </si>
  <si>
    <t>Completion time</t>
  </si>
  <si>
    <t>Time to complete</t>
  </si>
  <si>
    <t>Email</t>
  </si>
  <si>
    <t>Name</t>
  </si>
  <si>
    <t>Last modified time</t>
  </si>
  <si>
    <t>How often do you visit the starbuck near our campust?</t>
  </si>
  <si>
    <t>When do you go to Starbucks?</t>
  </si>
  <si>
    <t>How would you rate your last Starbucks visit?</t>
  </si>
  <si>
    <t>What do you usually get?</t>
  </si>
  <si>
    <t>Do you use Starbucks Rewards</t>
  </si>
  <si>
    <t>What would make you visit the Starbucks more often</t>
  </si>
  <si>
    <t>If Starbucks offered a special deal for YUU students, what would you prefer</t>
  </si>
  <si>
    <t>What is one thing Starbucks could improve?</t>
  </si>
  <si>
    <t>Starbucks Rewards</t>
  </si>
  <si>
    <t>sakrami@my.yearupunited.org</t>
  </si>
  <si>
    <t>sayaeedarashullah akrami</t>
  </si>
  <si>
    <t>Before class;During Lunch;</t>
  </si>
  <si>
    <t>Tea</t>
  </si>
  <si>
    <t>No</t>
  </si>
  <si>
    <t>Faster service;4 hours sleep of last night;</t>
  </si>
  <si>
    <t>Free coffee after 5 purchases;</t>
  </si>
  <si>
    <t>Yes</t>
  </si>
  <si>
    <t>amartinez5@my.yearupunited.org</t>
  </si>
  <si>
    <t>alizon martinez</t>
  </si>
  <si>
    <t>I don't go there;</t>
  </si>
  <si>
    <t>I don't buy anyting</t>
  </si>
  <si>
    <t xml:space="preserve">Pay employees better and guarantee x1.5 pay for overtime </t>
  </si>
  <si>
    <t>mcapar@my.yearupunited.org</t>
  </si>
  <si>
    <t>meric capar</t>
  </si>
  <si>
    <t>During Lunch;</t>
  </si>
  <si>
    <t>Iced drinks</t>
  </si>
  <si>
    <t>4 hours sleep of last night;Student discount;</t>
  </si>
  <si>
    <t>10% off any purchase;</t>
  </si>
  <si>
    <t>Faster service</t>
  </si>
  <si>
    <t>I don't know about it</t>
  </si>
  <si>
    <t>icolman@my.yearupunited.org</t>
  </si>
  <si>
    <t>israel colman</t>
  </si>
  <si>
    <t>Student discount;</t>
  </si>
  <si>
    <t>Never visited Starbucks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</si>
</sst>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45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165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Starbucks Customer Ratings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chemeClr val="accent1"/>
            </a:solidFill>
            <a:ln w="12700" cap="flat" cmpd="sng" algn="ctr">
              <a:solidFill>
                <a:srgbClr val="5B9BD5"/>
              </a:solidFill>
              <a:prstDash val="solid"/>
              <a:round/>
              <a:headEnd type="none" w="med" len="med"/>
              <a:tailEnd type="none" w="med" len="med"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5B9BD5"/>
              </a:solidFill>
              <a:ln w="12700" cap="flat" cmpd="sng" algn="ctr">
                <a:solidFill>
                  <a:srgbClr val="5B9BD5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2-F4DC-4C67-B28C-8BCE6570F91B}"/>
              </c:ext>
            </c:extLst>
          </c:dPt>
          <c:cat>
            <c:strRef>
              <c:f>Sheet3!$A$4:$A$7</c:f>
              <c:strCach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Grand Total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C-4C67-B28C-8BCE6570F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41122568"/>
        <c:axId val="1741141000"/>
      </c:barChart>
      <c:catAx>
        <c:axId val="1741122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41141000"/>
        <c:crosses val="autoZero"/>
        <c:auto val="1"/>
        <c:lblAlgn val="ctr"/>
        <c:lblOffset val="100"/>
        <c:noMultiLvlLbl val="0"/>
      </c:catAx>
      <c:valAx>
        <c:axId val="1741141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1122568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Starbucks Visit Frequency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Count of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8AF-4D4A-9154-7B2687E5EA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8AF-4D4A-9154-7B2687E5EA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8AF-4D4A-9154-7B2687E5EA3A}"/>
              </c:ext>
            </c:extLst>
          </c:dPt>
          <c:cat>
            <c:strRef>
              <c:f>Sheet3!$D$4:$D$7</c:f>
              <c:strCache>
                <c:ptCount val="4"/>
                <c:pt idx="0">
                  <c:v>Almost everyday your are at campus</c:v>
                </c:pt>
                <c:pt idx="1">
                  <c:v>Never been there</c:v>
                </c:pt>
                <c:pt idx="2">
                  <c:v>Once per week</c:v>
                </c:pt>
                <c:pt idx="3">
                  <c:v>Grand Total</c:v>
                </c:pt>
              </c:strCache>
            </c:strRef>
          </c:cat>
          <c:val>
            <c:numRef>
              <c:f>Sheet3!$E$4:$E$7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F-4D4A-9154-7B2687E5E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128587</xdr:rowOff>
    </xdr:from>
    <xdr:to>
      <xdr:col>3</xdr:col>
      <xdr:colOff>2209800</xdr:colOff>
      <xdr:row>26</xdr:row>
      <xdr:rowOff>14287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11</xdr:row>
      <xdr:rowOff>95250</xdr:rowOff>
    </xdr:from>
    <xdr:to>
      <xdr:col>11</xdr:col>
      <xdr:colOff>590550</xdr:colOff>
      <xdr:row>25</xdr:row>
      <xdr:rowOff>171450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sh" refreshedDate="46313.767454166664" createdVersion="8" refreshedVersion="8" minRefreshableVersion="3" recordCount="4" xr:uid="{00000000-000A-0000-FFFF-FFFF08000000}">
  <cacheSource type="worksheet">
    <worksheetSource name="Table1"/>
  </cacheSource>
  <cacheFields count="15">
    <cacheField name="ID" numFmtId="0">
      <sharedItems containsSemiMixedTypes="0" containsString="0" containsNumber="1" containsInteger="1" minValue="1" maxValue="4"/>
    </cacheField>
    <cacheField name="Start time" numFmtId="164">
      <sharedItems containsSemiMixedTypes="0" containsNonDate="0" containsDate="1" containsString="0" minDate="2026-10-14T23:05:18" maxDate="2026-10-18T09:26:27"/>
    </cacheField>
    <cacheField name="Completion time" numFmtId="164">
      <sharedItems containsSemiMixedTypes="0" containsNonDate="0" containsDate="1" containsString="0" minDate="2026-10-14T23:05:35" maxDate="2026-10-18T09:27:14"/>
    </cacheField>
    <cacheField name="Time to complete" numFmtId="45">
      <sharedItems containsSemiMixedTypes="0" containsNonDate="0" containsDate="1" containsString="0" minDate="1899-12-31T00:00:17" maxDate="1899-12-31T00:04:12"/>
    </cacheField>
    <cacheField name="Email" numFmtId="0">
      <sharedItems/>
    </cacheField>
    <cacheField name="Name" numFmtId="0">
      <sharedItems/>
    </cacheField>
    <cacheField name="Last modified time" numFmtId="0">
      <sharedItems containsString="0" containsBlank="1"/>
    </cacheField>
    <cacheField name="How often do you visit the starbuck near our campust?" numFmtId="0">
      <sharedItems count="3">
        <s v="Almost everyday your are at campus"/>
        <s v="Never been there"/>
        <s v="Once per week"/>
      </sharedItems>
    </cacheField>
    <cacheField name="When do you go to Starbucks?" numFmtId="0">
      <sharedItems/>
    </cacheField>
    <cacheField name="How would you rate your last Starbucks visit?" numFmtId="0">
      <sharedItems containsSemiMixedTypes="0" containsString="0" containsNumber="1" containsInteger="1" minValue="1" maxValue="5" count="3">
        <n v="3"/>
        <n v="1"/>
        <n v="5"/>
      </sharedItems>
    </cacheField>
    <cacheField name="What do you usually get?" numFmtId="0">
      <sharedItems/>
    </cacheField>
    <cacheField name="Do you use Starbucks Rewards" numFmtId="0">
      <sharedItems/>
    </cacheField>
    <cacheField name="What would make you visit the Starbucks more often" numFmtId="0">
      <sharedItems containsBlank="1"/>
    </cacheField>
    <cacheField name="If Starbucks offered a special deal for YUU students, what would you prefer" numFmtId="0">
      <sharedItems containsBlank="1"/>
    </cacheField>
    <cacheField name="What is one thing Starbucks could improve?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x:pivotCacheRecords xmlns:x="http://schemas.openxmlformats.org/spreadsheetml/2006/main" count="4">
  <x:r>
    <x:n v="1"/>
    <x:d v="2026-10-14T23:05:18"/>
    <x:d v="2026-10-14T23:05:35"/>
    <x:d v="1899-12-31T00:00:17"/>
    <x:s v="sakrami@my.yearupunited.org"/>
    <x:s v="sayaeedarashullah akrami"/>
    <x:m/>
    <x:x v="0"/>
    <x:s v="Before class;During Lunch;"/>
    <x:x v="0"/>
    <x:s v="Tea"/>
    <x:s v="No"/>
    <x:s v="Faster service;4 hours sleep of last night;"/>
    <x:s v="Free coffee after 5 purchases;"/>
    <x:m/>
  </x:r>
  <x:r>
    <x:n v="2"/>
    <x:d v="2026-10-15T11:09:59"/>
    <x:d v="2026-10-15T11:14:11"/>
    <x:d v="1899-12-31T00:04:12"/>
    <x:s v="amartinez5@my.yearupunited.org"/>
    <x:s v="alizon martinez"/>
    <x:m/>
    <x:x v="1"/>
    <x:s v="I don't go there;"/>
    <x:x v="1"/>
    <x:s v="I don't buy anyting"/>
    <x:s v="No"/>
    <x:m/>
    <x:m/>
    <x:s v="Pay employees better and guarantee x1.5 pay for overtime "/>
  </x:r>
  <x:r>
    <x:n v="3"/>
    <x:d v="2026-10-16T18:19:07"/>
    <x:d v="2026-10-16T18:21:35"/>
    <x:d v="1899-12-31T00:02:28"/>
    <x:s v="mcapar@my.yearupunited.org"/>
    <x:s v="meric capar"/>
    <x:m/>
    <x:x v="2"/>
    <x:s v="During Lunch;"/>
    <x:x v="2"/>
    <x:s v="Iced drinks"/>
    <x:s v="Yes"/>
    <x:s v="4 hours sleep of last night;Student discount;"/>
    <x:s v="10% off any purchase;"/>
    <x:s v="Faster service"/>
  </x:r>
  <x:r>
    <x:n v="4"/>
    <x:d v="2026-10-18T09:26:27"/>
    <x:d v="2026-10-18T09:27:14"/>
    <x:d v="1899-12-31T00:00:47"/>
    <x:s v="icolman@my.yearupunited.org"/>
    <x:s v="israel colman"/>
    <x:m/>
    <x:x v="1"/>
    <x:s v="I don't go there;"/>
    <x:x v="0"/>
    <x:s v="I don't buy anyting"/>
    <x:s v="I don't know about it"/>
    <x:s v="Student discount;"/>
    <x:s v="Free coffee after 5 purchases;"/>
    <x:m/>
  </x:r>
</x: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7" firstHeaderRow="1" firstDataRow="1" firstDataCol="1"/>
  <pivotFields count="15">
    <pivotField dataField="1" showAll="0"/>
    <pivotField numFmtId="164" showAll="0"/>
    <pivotField numFmtId="164" showAll="0"/>
    <pivotField numFmtId="45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5">
    <pivotField dataField="1" showAll="0"/>
    <pivotField numFmtId="164" showAll="0"/>
    <pivotField numFmtId="164" showAll="0"/>
    <pivotField numFmtId="4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9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6" totalsRowCount="1">
  <autoFilter ref="A1:O5" xr:uid="{00000000-0009-0000-0100-000001000000}"/>
  <tableColumns count="15">
    <tableColumn id="1" xr3:uid="{00000000-0010-0000-0000-000001000000}" name="ID" dataDxfId="14"/>
    <tableColumn id="2" xr3:uid="{00000000-0010-0000-0000-000002000000}" name="Start time" dataDxfId="13"/>
    <tableColumn id="3" xr3:uid="{00000000-0010-0000-0000-000003000000}" name="Completion time" dataDxfId="12"/>
    <tableColumn id="15" xr3:uid="{00000000-0010-0000-0000-00000F000000}" name="Time to complete" totalsRowFunction="custom" dataDxfId="11">
      <calculatedColumnFormula>C2-B2</calculatedColumnFormula>
      <totalsRowFormula>AVERAGE(D2:D5)</totalsRowFormula>
    </tableColumn>
    <tableColumn id="4" xr3:uid="{00000000-0010-0000-0000-000004000000}" name="Email" dataDxfId="10"/>
    <tableColumn id="5" xr3:uid="{00000000-0010-0000-0000-000005000000}" name="Name" dataDxfId="9"/>
    <tableColumn id="6" xr3:uid="{00000000-0010-0000-0000-000006000000}" name="Last modified time" dataDxfId="8"/>
    <tableColumn id="7" xr3:uid="{00000000-0010-0000-0000-000007000000}" name="How often do you visit the starbuck near our campust?" dataDxfId="7"/>
    <tableColumn id="8" xr3:uid="{00000000-0010-0000-0000-000008000000}" name="When do you go to Starbucks?" dataDxfId="6"/>
    <tableColumn id="9" xr3:uid="{00000000-0010-0000-0000-000009000000}" name="How would you rate your last Starbucks visit?" totalsRowFunction="custom" dataDxfId="5">
      <totalsRowFormula>AVERAGE(J2:J5)</totalsRowFormula>
    </tableColumn>
    <tableColumn id="10" xr3:uid="{00000000-0010-0000-0000-00000A000000}" name="What do you usually get?" dataDxfId="4"/>
    <tableColumn id="11" xr3:uid="{00000000-0010-0000-0000-00000B000000}" name="Do you use Starbucks Rewards" dataDxfId="3"/>
    <tableColumn id="12" xr3:uid="{00000000-0010-0000-0000-00000C000000}" name="What would make you visit the Starbucks more often" dataDxfId="2"/>
    <tableColumn id="13" xr3:uid="{00000000-0010-0000-0000-00000D000000}" name="If Starbucks offered a special deal for YUU students, what would you prefer" dataDxfId="1"/>
    <tableColumn id="14" xr3:uid="{00000000-0010-0000-0000-00000E000000}" name="What is one thing Starbucks could improv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7"/>
  <sheetViews>
    <sheetView tabSelected="1" topLeftCell="A2" zoomScaleNormal="100" zoomScaleSheetLayoutView="100" workbookViewId="0">
      <selection activeCell="D4" sqref="D4"/>
    </sheetView>
  </sheetViews>
  <sheetFormatPr defaultRowHeight="15"/>
  <cols>
    <col min="1" max="1" width="13.140625" customWidth="1"/>
    <col min="2" max="2" width="10.85546875" customWidth="1"/>
    <col min="4" max="4" width="35.5703125" customWidth="1"/>
    <col min="5" max="5" width="15.28515625" customWidth="1"/>
  </cols>
  <sheetData>
    <row r="3" spans="1:5">
      <c r="A3" t="s">
        <v>0</v>
      </c>
      <c r="B3" t="s">
        <v>1</v>
      </c>
      <c r="D3" t="s">
        <v>0</v>
      </c>
      <c r="E3" t="s">
        <v>1</v>
      </c>
    </row>
    <row r="4" spans="1:5">
      <c r="A4" s="4">
        <v>1</v>
      </c>
      <c r="B4">
        <v>1</v>
      </c>
      <c r="D4" s="4" t="s">
        <v>2</v>
      </c>
      <c r="E4">
        <v>1</v>
      </c>
    </row>
    <row r="5" spans="1:5">
      <c r="A5" s="4">
        <v>3</v>
      </c>
      <c r="B5">
        <v>2</v>
      </c>
      <c r="D5" s="4" t="s">
        <v>3</v>
      </c>
      <c r="E5">
        <v>2</v>
      </c>
    </row>
    <row r="6" spans="1:5">
      <c r="A6" s="4">
        <v>5</v>
      </c>
      <c r="B6">
        <v>1</v>
      </c>
      <c r="D6" s="4" t="s">
        <v>4</v>
      </c>
      <c r="E6">
        <v>1</v>
      </c>
    </row>
    <row r="7" spans="1:5">
      <c r="A7" s="4" t="s">
        <v>5</v>
      </c>
      <c r="B7">
        <v>4</v>
      </c>
      <c r="D7" s="4" t="s">
        <v>5</v>
      </c>
      <c r="E7">
        <v>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zoomScaleNormal="100" zoomScaleSheetLayoutView="100" workbookViewId="0"/>
  </sheetViews>
  <sheetFormatPr defaultRowHeight="15"/>
  <cols>
    <col min="1" max="1" width="7.28515625" customWidth="1"/>
    <col min="2" max="3" width="20" customWidth="1"/>
    <col min="4" max="4" width="19.5703125" customWidth="1"/>
    <col min="5" max="5" width="34.85546875" customWidth="1"/>
    <col min="6" max="6" width="24.7109375" customWidth="1"/>
    <col min="7" max="7" width="18.7109375" customWidth="1"/>
    <col min="8" max="8" width="40.7109375" customWidth="1"/>
    <col min="9" max="9" width="29.5703125" customWidth="1"/>
    <col min="10" max="10" width="32.5703125" customWidth="1"/>
    <col min="11" max="11" width="28.85546875" customWidth="1"/>
    <col min="12" max="12" width="36.28515625" customWidth="1"/>
    <col min="13" max="13" width="39.85546875" customWidth="1"/>
    <col min="14" max="14" width="39.28515625" customWidth="1"/>
    <col min="15" max="15" width="53.140625" customWidth="1"/>
    <col min="17" max="17" width="24.85546875" customWidth="1"/>
    <col min="18" max="18" width="18.42578125" customWidth="1"/>
  </cols>
  <sheetData>
    <row r="1" spans="1:18" ht="30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s="2" t="s">
        <v>18</v>
      </c>
      <c r="N1" s="2" t="s">
        <v>19</v>
      </c>
      <c r="O1" t="s">
        <v>20</v>
      </c>
      <c r="Q1" t="s">
        <v>21</v>
      </c>
    </row>
    <row r="2" spans="1:18">
      <c r="A2">
        <v>1</v>
      </c>
      <c r="B2" s="6">
        <v>46309.962013888886</v>
      </c>
      <c r="C2" s="6">
        <v>46309.962210648147</v>
      </c>
      <c r="D2" s="3">
        <f>C2-B2</f>
        <v>1.9675926159834489E-4</v>
      </c>
      <c r="E2" t="s">
        <v>22</v>
      </c>
      <c r="F2" t="s">
        <v>23</v>
      </c>
      <c r="G2" s="1"/>
      <c r="H2" t="s">
        <v>2</v>
      </c>
      <c r="I2" t="s">
        <v>24</v>
      </c>
      <c r="J2">
        <v>3</v>
      </c>
      <c r="K2" t="s">
        <v>25</v>
      </c>
      <c r="L2" t="s">
        <v>26</v>
      </c>
      <c r="M2" t="s">
        <v>27</v>
      </c>
      <c r="N2" t="s">
        <v>28</v>
      </c>
      <c r="Q2" t="s">
        <v>29</v>
      </c>
      <c r="R2">
        <f>COUNTIF(L2:L5, "Yes")</f>
        <v>1</v>
      </c>
    </row>
    <row r="3" spans="1:18">
      <c r="A3">
        <v>2</v>
      </c>
      <c r="B3" s="6">
        <v>46310.465266203704</v>
      </c>
      <c r="C3" s="6">
        <v>46310.468182870369</v>
      </c>
      <c r="D3" s="3">
        <f>C3-B3</f>
        <v>2.9166666645323858E-3</v>
      </c>
      <c r="E3" t="s">
        <v>30</v>
      </c>
      <c r="F3" t="s">
        <v>31</v>
      </c>
      <c r="G3" s="1"/>
      <c r="H3" t="s">
        <v>3</v>
      </c>
      <c r="I3" t="s">
        <v>32</v>
      </c>
      <c r="J3">
        <v>1</v>
      </c>
      <c r="K3" t="s">
        <v>33</v>
      </c>
      <c r="L3" t="s">
        <v>26</v>
      </c>
      <c r="O3" t="s">
        <v>34</v>
      </c>
      <c r="Q3" t="s">
        <v>26</v>
      </c>
      <c r="R3">
        <f>COUNTIF(L2:L5, "No")</f>
        <v>2</v>
      </c>
    </row>
    <row r="4" spans="1:18">
      <c r="A4">
        <v>3</v>
      </c>
      <c r="B4" s="6">
        <v>46311.763275462959</v>
      </c>
      <c r="C4" s="6">
        <v>46311.764988425923</v>
      </c>
      <c r="D4" s="3">
        <f>C4-B4</f>
        <v>1.7129629632108845E-3</v>
      </c>
      <c r="E4" t="s">
        <v>35</v>
      </c>
      <c r="F4" t="s">
        <v>36</v>
      </c>
      <c r="G4" s="1"/>
      <c r="H4" t="s">
        <v>4</v>
      </c>
      <c r="I4" t="s">
        <v>37</v>
      </c>
      <c r="J4">
        <v>5</v>
      </c>
      <c r="K4" t="s">
        <v>38</v>
      </c>
      <c r="L4" t="s">
        <v>29</v>
      </c>
      <c r="M4" t="s">
        <v>39</v>
      </c>
      <c r="N4" t="s">
        <v>40</v>
      </c>
      <c r="O4" t="s">
        <v>41</v>
      </c>
      <c r="Q4" s="5" t="s">
        <v>42</v>
      </c>
      <c r="R4">
        <f>COUNTIF(L2:L5, "I don't know about it")</f>
        <v>1</v>
      </c>
    </row>
    <row r="5" spans="1:18">
      <c r="A5">
        <v>4</v>
      </c>
      <c r="B5" s="6">
        <v>46313.393368055556</v>
      </c>
      <c r="C5" s="6">
        <v>46313.393912037034</v>
      </c>
      <c r="D5" s="3">
        <f>C5-B5</f>
        <v>5.4398147767642513E-4</v>
      </c>
      <c r="E5" t="s">
        <v>43</v>
      </c>
      <c r="F5" t="s">
        <v>44</v>
      </c>
      <c r="G5" s="1"/>
      <c r="H5" t="s">
        <v>3</v>
      </c>
      <c r="I5" t="s">
        <v>32</v>
      </c>
      <c r="J5">
        <v>3</v>
      </c>
      <c r="K5" t="s">
        <v>33</v>
      </c>
      <c r="L5" t="s">
        <v>42</v>
      </c>
      <c r="M5" t="s">
        <v>45</v>
      </c>
      <c r="N5" t="s">
        <v>28</v>
      </c>
      <c r="Q5" s="5" t="s">
        <v>46</v>
      </c>
      <c r="R5">
        <f>COUNTIF(H2:H5, "Never been there")</f>
        <v>2</v>
      </c>
    </row>
    <row r="6" spans="1:18">
      <c r="B6" s="1"/>
      <c r="C6" s="1"/>
      <c r="D6" s="3">
        <f>AVERAGE(D2:D5)</f>
        <v>1.3425925917545101E-3</v>
      </c>
      <c r="G6" s="1"/>
      <c r="J6">
        <f>AVERAGE(J2:J5)</f>
        <v>3</v>
      </c>
      <c r="Q6" t="s">
        <v>38</v>
      </c>
      <c r="R6">
        <f>COUNTIF(K2:K5,"Iced drinks")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2026-10-19T02:21:36Z</dcterms:created>
  <dcterms:modified xsi:type="dcterms:W3CDTF">2026-10-19T02:24:38Z</dcterms:modified>
  <cp:category/>
  <cp:contentStatus/>
</cp:coreProperties>
</file>